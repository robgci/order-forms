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Contacts" sheetId="2" state="visible" r:id="rId2"/>
    <sheet xmlns:r="http://schemas.openxmlformats.org/officeDocument/2006/relationships" name="Products" sheetId="3" state="visible" r:id="rId3"/>
  </sheets>
  <definedNames>
    <definedName name="_xlnm.Print_Titles" localSheetId="1">'Contacts'!$1:$1</definedName>
    <definedName name="_xlnm.Print_Titles" localSheetId="2">'Products'!$1:$1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29384D"/>
      </patternFill>
    </fill>
    <fill>
      <patternFill patternType="solid">
        <fgColor rgb="00FFF8DB"/>
      </patternFill>
    </fill>
    <fill>
      <patternFill patternType="solid">
        <fgColor rgb="00EAF1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0" fillId="3" borderId="0" applyAlignment="1" pivotButton="0" quotePrefix="0" xfId="0">
      <alignment vertical="top" wrapText="1"/>
    </xf>
    <xf numFmtId="49" fontId="0" fillId="3" borderId="0" applyAlignment="1" pivotButton="0" quotePrefix="0" xfId="0">
      <alignment vertical="top" wrapText="1"/>
    </xf>
    <xf numFmtId="2" fontId="0" fillId="3" borderId="0" applyAlignment="1" pivotButton="0" quotePrefix="0" xfId="0">
      <alignment vertical="top" wrapText="1"/>
    </xf>
    <xf numFmtId="164" fontId="0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Order forms</author>
  </authors>
  <commentList>
    <comment ref="D1" authorId="0" shapeId="0">
      <text>
        <t>Price per piece or per dozen, matching Order unit.</t>
      </text>
    </comment>
    <comment ref="E1" authorId="0" shapeId="0">
      <text>
        <t>Always pieces, including products ordered in dozens.</t>
      </text>
    </comment>
    <comment ref="F1" authorId="0" shapeId="0">
      <text>
        <t>Number of complete cases per pallet.</t>
      </text>
    </comment>
  </commentList>
</comments>
</file>

<file path=xl/tables/table1.xml><?xml version="1.0" encoding="utf-8"?>
<table xmlns="http://schemas.openxmlformats.org/spreadsheetml/2006/main" id="1" name="CustomerContacts" displayName="CustomerContacts" ref="A1:G21" headerRowCount="1">
  <autoFilter ref="A1:G21"/>
  <tableColumns count="7">
    <tableColumn id="1" name="Customer name"/>
    <tableColumn id="2" name="Contact person"/>
    <tableColumn id="3" name="Customer contact email"/>
    <tableColumn id="4" name="Ship-to location"/>
    <tableColumn id="5" name="Salesperson"/>
    <tableColumn id="6" name="Salesperson email"/>
    <tableColumn id="7" name="Currency"/>
  </tableColumns>
  <tableStyleInfo name="TableStyleMedium2" showRowStripes="0"/>
</table>
</file>

<file path=xl/tables/table2.xml><?xml version="1.0" encoding="utf-8"?>
<table xmlns="http://schemas.openxmlformats.org/spreadsheetml/2006/main" id="2" name="CustomerProducts" displayName="CustomerProducts" ref="A1:I21" headerRowCount="1">
  <autoFilter ref="A1:I21"/>
  <tableColumns count="9">
    <tableColumn id="1" name="Item number"/>
    <tableColumn id="2" name="Description"/>
    <tableColumn id="3" name="Order unit"/>
    <tableColumn id="4" name="Unit price"/>
    <tableColumn id="5" name="Case pack (pieces)"/>
    <tableColumn id="6" name="Pallet pack (cases)"/>
    <tableColumn id="7" name="Pallet pack (pieces)"/>
    <tableColumn id="8" name="Order units per case"/>
    <tableColumn id="9" name="Order units per pallet"/>
  </tableColumns>
  <tableStyleInfo name="TableStyleMedium2" showRow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10" customWidth="1" min="2" max="2"/>
  </cols>
  <sheetData>
    <row r="1" ht="36" customHeight="1">
      <c r="A1" s="1" t="inlineStr">
        <is>
          <t>Customer order form setup</t>
        </is>
      </c>
      <c r="B1" s="1" t="inlineStr">
        <is>
          <t>Instructions</t>
        </is>
      </c>
    </row>
    <row r="2" ht="45" customHeight="1">
      <c r="A2" s="2" t="inlineStr">
        <is>
          <t>One workbook per customer</t>
        </is>
      </c>
      <c r="B2" s="2" t="inlineStr">
        <is>
          <t>Fill in Contacts and Products, save, then upload the workbook to the order-form conversation.</t>
        </is>
      </c>
    </row>
    <row r="3" ht="45" customHeight="1">
      <c r="A3" s="2" t="inlineStr">
        <is>
          <t>Contacts</t>
        </is>
      </c>
      <c r="B3" s="2" t="inlineStr">
        <is>
          <t>One row per person/location. Customer name, contact name/email, location and designated salesperson name/email are required.</t>
        </is>
      </c>
    </row>
    <row r="4" ht="45" customHeight="1">
      <c r="A4" s="2" t="inlineStr">
        <is>
          <t>Dropdown</t>
        </is>
      </c>
      <c r="B4" s="2" t="inlineStr">
        <is>
          <t>The form will list the contact people. Selecting a person automatically fills the location and uses that contact email for future customer delivery.</t>
        </is>
      </c>
    </row>
    <row r="5" ht="45" customHeight="1">
      <c r="A5" s="2" t="inlineStr">
        <is>
          <t>Products</t>
        </is>
      </c>
      <c r="B5" s="2" t="inlineStr">
        <is>
          <t>One row per item. Keep item numbers as text, exactly as supplied, including leading zeros and punctuation.</t>
        </is>
      </c>
    </row>
    <row r="6" ht="45" customHeight="1">
      <c r="A6" s="2" t="inlineStr">
        <is>
          <t>Order unit and price</t>
        </is>
      </c>
      <c r="B6" s="2" t="inlineStr">
        <is>
          <t>Choose pieces or dozen. Unit price must be the price for that order unit. Do not convert a per-piece price unless instructed.</t>
        </is>
      </c>
    </row>
    <row r="7" ht="45" customHeight="1">
      <c r="A7" s="2" t="inlineStr">
        <is>
          <t>Pack sizes</t>
        </is>
      </c>
      <c r="B7" s="2" t="inlineStr">
        <is>
          <t>Always enter case pack in PIECES and pallet pack in CASES PER PALLET. The three blue columns calculate the equivalents.</t>
        </is>
      </c>
    </row>
    <row r="8" ht="45" customHeight="1">
      <c r="A8" s="2" t="inlineStr">
        <is>
          <t>Dozen example</t>
        </is>
      </c>
      <c r="B8" s="2" t="inlineStr">
        <is>
          <t>Washcloth: 900 pieces/case and 8 cases/pallet = 75 dozen/case and 600 dozen/pallet. Other products stay in pieces.</t>
        </is>
      </c>
    </row>
    <row r="9" ht="45" customHeight="1">
      <c r="A9" s="2" t="inlineStr">
        <is>
          <t>Full-case rounding</t>
        </is>
      </c>
      <c r="B9" s="2" t="inlineStr">
        <is>
          <t>All positive quantities round UP to full cases. Zero stays zero. Fractional pallets are allowed. Dozen case packs must divide evenly by 12.</t>
        </is>
      </c>
    </row>
    <row r="10" ht="45" customHeight="1">
      <c r="A10" s="2" t="inlineStr">
        <is>
          <t>Currency</t>
        </is>
      </c>
      <c r="B10" s="2" t="inlineStr">
        <is>
          <t>Enter the three-letter currency for each customer (for example USD or CAD). Handcraft currency is intentionally blank because the source only showed dollar signs.</t>
        </is>
      </c>
    </row>
    <row r="11" ht="45" customHeight="1">
      <c r="A11" s="2" t="inlineStr">
        <is>
          <t>Testing</t>
        </is>
      </c>
      <c r="B11" s="2" t="inlineStr">
        <is>
          <t>Customer addresses are configuration data only. While testing, send only to rhorowitz@georgecourey.com. Customer/salesperson delivery must be explicitly enabled later.</t>
        </is>
      </c>
    </row>
    <row r="12" ht="45" customHeight="1">
      <c r="A12" s="2" t="inlineStr">
        <is>
          <t>No secrets</t>
        </is>
      </c>
      <c r="B12" s="2" t="inlineStr">
        <is>
          <t>Do not enter API keys, passwords or other credentials in this workbook.</t>
        </is>
      </c>
    </row>
    <row r="13" ht="45" customHeight="1">
      <c r="A13" s="2" t="inlineStr">
        <is>
          <t>More rows</t>
        </is>
      </c>
      <c r="B13" s="2" t="inlineStr">
        <is>
          <t>Add rows as needed. If adding Products rows, copy the three blue formulas down. Yellow cells are inputs; blue cells are calculated.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8" customWidth="1" min="2" max="2"/>
    <col width="48" customWidth="1" min="3" max="3"/>
    <col width="32" customWidth="1" min="4" max="4"/>
    <col width="25" customWidth="1" min="5" max="5"/>
    <col width="40" customWidth="1" min="6" max="6"/>
    <col width="14" customWidth="1" min="7" max="7"/>
  </cols>
  <sheetData>
    <row r="1" ht="36" customHeight="1">
      <c r="A1" s="1" t="inlineStr">
        <is>
          <t>Customer name</t>
        </is>
      </c>
      <c r="B1" s="1" t="inlineStr">
        <is>
          <t>Contact person</t>
        </is>
      </c>
      <c r="C1" s="1" t="inlineStr">
        <is>
          <t>Customer contact email</t>
        </is>
      </c>
      <c r="D1" s="1" t="inlineStr">
        <is>
          <t>Ship-to location</t>
        </is>
      </c>
      <c r="E1" s="1" t="inlineStr">
        <is>
          <t>Salesperson</t>
        </is>
      </c>
      <c r="F1" s="1" t="inlineStr">
        <is>
          <t>Salesperson email</t>
        </is>
      </c>
      <c r="G1" s="1" t="inlineStr">
        <is>
          <t>Currency</t>
        </is>
      </c>
    </row>
    <row r="2">
      <c r="A2" s="3" t="inlineStr">
        <is>
          <t>Handcraft Linen Service</t>
        </is>
      </c>
      <c r="B2" s="3" t="inlineStr">
        <is>
          <t>Saul Aguilera</t>
        </is>
      </c>
      <c r="C2" s="3" t="inlineStr">
        <is>
          <t>saulaguilera@handcraftservices.com</t>
        </is>
      </c>
      <c r="D2" s="3" t="inlineStr">
        <is>
          <t>Richmond VA Bulk</t>
        </is>
      </c>
      <c r="E2" s="3" t="inlineStr">
        <is>
          <t>Robert Horowitz</t>
        </is>
      </c>
      <c r="F2" s="3" t="inlineStr">
        <is>
          <t>rhorowitz@georgecourey.com</t>
        </is>
      </c>
      <c r="G2" s="3" t="n"/>
    </row>
    <row r="3">
      <c r="A3" s="3" t="inlineStr">
        <is>
          <t>Handcraft Linen Service</t>
        </is>
      </c>
      <c r="B3" s="3" t="inlineStr">
        <is>
          <t>Ringo Tetteh Quaye</t>
        </is>
      </c>
      <c r="C3" s="3" t="inlineStr">
        <is>
          <t>RingoTettehQuaye@handcraftservices.com</t>
        </is>
      </c>
      <c r="D3" s="3" t="inlineStr">
        <is>
          <t>Martinsburg WV Bulk</t>
        </is>
      </c>
      <c r="E3" s="3" t="inlineStr">
        <is>
          <t>Robert Horowitz</t>
        </is>
      </c>
      <c r="F3" s="3" t="inlineStr">
        <is>
          <t>rhorowitz@georgecourey.com</t>
        </is>
      </c>
      <c r="G3" s="3" t="n"/>
    </row>
    <row r="4">
      <c r="A4" s="3" t="inlineStr">
        <is>
          <t>Handcraft Linen Service</t>
        </is>
      </c>
      <c r="B4" s="3" t="inlineStr">
        <is>
          <t>Clinton Wright</t>
        </is>
      </c>
      <c r="C4" s="3" t="inlineStr">
        <is>
          <t>clintonwright@handcraftservices.com</t>
        </is>
      </c>
      <c r="D4" s="3" t="inlineStr">
        <is>
          <t>High Point NC Bulk</t>
        </is>
      </c>
      <c r="E4" s="3" t="inlineStr">
        <is>
          <t>Robert Horowitz</t>
        </is>
      </c>
      <c r="F4" s="3" t="inlineStr">
        <is>
          <t>rhorowitz@georgecourey.com</t>
        </is>
      </c>
      <c r="G4" s="3" t="n"/>
    </row>
    <row r="5">
      <c r="A5" s="3" t="n"/>
      <c r="B5" s="3" t="n"/>
      <c r="C5" s="3" t="n"/>
      <c r="D5" s="3" t="n"/>
      <c r="E5" s="3" t="n"/>
      <c r="F5" s="3" t="n"/>
      <c r="G5" s="3" t="n"/>
    </row>
    <row r="6">
      <c r="A6" s="3" t="n"/>
      <c r="B6" s="3" t="n"/>
      <c r="C6" s="3" t="n"/>
      <c r="D6" s="3" t="n"/>
      <c r="E6" s="3" t="n"/>
      <c r="F6" s="3" t="n"/>
      <c r="G6" s="3" t="n"/>
    </row>
    <row r="7">
      <c r="A7" s="3" t="n"/>
      <c r="B7" s="3" t="n"/>
      <c r="C7" s="3" t="n"/>
      <c r="D7" s="3" t="n"/>
      <c r="E7" s="3" t="n"/>
      <c r="F7" s="3" t="n"/>
      <c r="G7" s="3" t="n"/>
    </row>
    <row r="8">
      <c r="A8" s="3" t="n"/>
      <c r="B8" s="3" t="n"/>
      <c r="C8" s="3" t="n"/>
      <c r="D8" s="3" t="n"/>
      <c r="E8" s="3" t="n"/>
      <c r="F8" s="3" t="n"/>
      <c r="G8" s="3" t="n"/>
    </row>
    <row r="9">
      <c r="A9" s="3" t="n"/>
      <c r="B9" s="3" t="n"/>
      <c r="C9" s="3" t="n"/>
      <c r="D9" s="3" t="n"/>
      <c r="E9" s="3" t="n"/>
      <c r="F9" s="3" t="n"/>
      <c r="G9" s="3" t="n"/>
    </row>
    <row r="10">
      <c r="A10" s="3" t="n"/>
      <c r="B10" s="3" t="n"/>
      <c r="C10" s="3" t="n"/>
      <c r="D10" s="3" t="n"/>
      <c r="E10" s="3" t="n"/>
      <c r="F10" s="3" t="n"/>
      <c r="G10" s="3" t="n"/>
    </row>
    <row r="11">
      <c r="A11" s="3" t="n"/>
      <c r="B11" s="3" t="n"/>
      <c r="C11" s="3" t="n"/>
      <c r="D11" s="3" t="n"/>
      <c r="E11" s="3" t="n"/>
      <c r="F11" s="3" t="n"/>
      <c r="G11" s="3" t="n"/>
    </row>
    <row r="12">
      <c r="A12" s="3" t="n"/>
      <c r="B12" s="3" t="n"/>
      <c r="C12" s="3" t="n"/>
      <c r="D12" s="3" t="n"/>
      <c r="E12" s="3" t="n"/>
      <c r="F12" s="3" t="n"/>
      <c r="G12" s="3" t="n"/>
    </row>
    <row r="13">
      <c r="A13" s="3" t="n"/>
      <c r="B13" s="3" t="n"/>
      <c r="C13" s="3" t="n"/>
      <c r="D13" s="3" t="n"/>
      <c r="E13" s="3" t="n"/>
      <c r="F13" s="3" t="n"/>
      <c r="G13" s="3" t="n"/>
    </row>
    <row r="14">
      <c r="A14" s="3" t="n"/>
      <c r="B14" s="3" t="n"/>
      <c r="C14" s="3" t="n"/>
      <c r="D14" s="3" t="n"/>
      <c r="E14" s="3" t="n"/>
      <c r="F14" s="3" t="n"/>
      <c r="G14" s="3" t="n"/>
    </row>
    <row r="15">
      <c r="A15" s="3" t="n"/>
      <c r="B15" s="3" t="n"/>
      <c r="C15" s="3" t="n"/>
      <c r="D15" s="3" t="n"/>
      <c r="E15" s="3" t="n"/>
      <c r="F15" s="3" t="n"/>
      <c r="G15" s="3" t="n"/>
    </row>
    <row r="16">
      <c r="A16" s="3" t="n"/>
      <c r="B16" s="3" t="n"/>
      <c r="C16" s="3" t="n"/>
      <c r="D16" s="3" t="n"/>
      <c r="E16" s="3" t="n"/>
      <c r="F16" s="3" t="n"/>
      <c r="G16" s="3" t="n"/>
    </row>
    <row r="17">
      <c r="A17" s="3" t="n"/>
      <c r="B17" s="3" t="n"/>
      <c r="C17" s="3" t="n"/>
      <c r="D17" s="3" t="n"/>
      <c r="E17" s="3" t="n"/>
      <c r="F17" s="3" t="n"/>
      <c r="G17" s="3" t="n"/>
    </row>
    <row r="18">
      <c r="A18" s="3" t="n"/>
      <c r="B18" s="3" t="n"/>
      <c r="C18" s="3" t="n"/>
      <c r="D18" s="3" t="n"/>
      <c r="E18" s="3" t="n"/>
      <c r="F18" s="3" t="n"/>
      <c r="G18" s="3" t="n"/>
    </row>
    <row r="19">
      <c r="A19" s="3" t="n"/>
      <c r="B19" s="3" t="n"/>
      <c r="C19" s="3" t="n"/>
      <c r="D19" s="3" t="n"/>
      <c r="E19" s="3" t="n"/>
      <c r="F19" s="3" t="n"/>
      <c r="G19" s="3" t="n"/>
    </row>
    <row r="20">
      <c r="A20" s="3" t="n"/>
      <c r="B20" s="3" t="n"/>
      <c r="C20" s="3" t="n"/>
      <c r="D20" s="3" t="n"/>
      <c r="E20" s="3" t="n"/>
      <c r="F20" s="3" t="n"/>
      <c r="G20" s="3" t="n"/>
    </row>
    <row r="21">
      <c r="A21" s="3" t="n"/>
      <c r="B21" s="3" t="n"/>
      <c r="C21" s="3" t="n"/>
      <c r="D21" s="3" t="n"/>
      <c r="E21" s="3" t="n"/>
      <c r="F21" s="3" t="n"/>
      <c r="G21" s="3" t="n"/>
    </row>
  </sheetData>
  <pageMargins left="0.75" right="0.75" top="1" bottom="1" header="0.5" footer="0.5"/>
  <pageSetup orientation="landscape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I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8" customWidth="1" min="2" max="2"/>
    <col width="16" customWidth="1" min="3" max="3"/>
    <col width="16" customWidth="1" min="4" max="4"/>
    <col width="23" customWidth="1" min="5" max="5"/>
    <col width="23" customWidth="1" min="6" max="6"/>
    <col width="23" customWidth="1" min="7" max="7"/>
    <col width="24" customWidth="1" min="8" max="8"/>
    <col width="25" customWidth="1" min="9" max="9"/>
  </cols>
  <sheetData>
    <row r="1" ht="36" customHeight="1">
      <c r="A1" s="1" t="inlineStr">
        <is>
          <t>Item number</t>
        </is>
      </c>
      <c r="B1" s="1" t="inlineStr">
        <is>
          <t>Description</t>
        </is>
      </c>
      <c r="C1" s="1" t="inlineStr">
        <is>
          <t>Order unit</t>
        </is>
      </c>
      <c r="D1" s="1" t="inlineStr">
        <is>
          <t>Unit price</t>
        </is>
      </c>
      <c r="E1" s="1" t="inlineStr">
        <is>
          <t>Case pack (pieces)</t>
        </is>
      </c>
      <c r="F1" s="1" t="inlineStr">
        <is>
          <t>Pallet pack (cases)</t>
        </is>
      </c>
      <c r="G1" s="1" t="inlineStr">
        <is>
          <t>Pallet pack (pieces)</t>
        </is>
      </c>
      <c r="H1" s="1" t="inlineStr">
        <is>
          <t>Order units per case</t>
        </is>
      </c>
      <c r="I1" s="1" t="inlineStr">
        <is>
          <t>Order units per pallet</t>
        </is>
      </c>
    </row>
    <row r="2" ht="64" customHeight="1">
      <c r="A2" s="4" t="inlineStr">
        <is>
          <t>L8-68383</t>
        </is>
      </c>
      <c r="B2" s="3" t="inlineStr">
        <is>
          <t>Universal Gown - 55% Cotton, 45% Polyester - Print</t>
        </is>
      </c>
      <c r="C2" s="3" t="inlineStr">
        <is>
          <t>pieces</t>
        </is>
      </c>
      <c r="D2" s="5" t="n">
        <v>4.16</v>
      </c>
      <c r="E2" s="3" t="n">
        <v>60</v>
      </c>
      <c r="F2" s="3" t="n">
        <v>16</v>
      </c>
      <c r="G2" s="6">
        <f>IF(OR(E2="",F2=""),"",E2*F2)</f>
        <v/>
      </c>
      <c r="H2" s="6">
        <f>IF(OR(C2="",E2=""),"",IF(C2="dozen",E2/12,E2))</f>
        <v/>
      </c>
      <c r="I2" s="6">
        <f>IF(OR(H2="",F2=""),"",H2*F2)</f>
        <v/>
      </c>
    </row>
    <row r="3" ht="64" customHeight="1">
      <c r="A3" s="4" t="inlineStr">
        <is>
          <t>L1216-170</t>
        </is>
      </c>
      <c r="B3" s="3" t="inlineStr">
        <is>
          <t>Flannel Blanket - Loomstate Unbleached - 60% cotton, 40% polyester - 72" x 90" - 1.70 lbs - Green ID Thread</t>
        </is>
      </c>
      <c r="C3" s="3" t="inlineStr">
        <is>
          <t>pieces</t>
        </is>
      </c>
      <c r="D3" s="5" t="n">
        <v>2.59</v>
      </c>
      <c r="E3" s="3" t="n">
        <v>30</v>
      </c>
      <c r="F3" s="3" t="n">
        <v>16</v>
      </c>
      <c r="G3" s="6">
        <f>IF(OR(E3="",F3=""),"",E3*F3)</f>
        <v/>
      </c>
      <c r="H3" s="6">
        <f>IF(OR(C3="",E3=""),"",IF(C3="dozen",E3/12,E3))</f>
        <v/>
      </c>
      <c r="I3" s="6">
        <f>IF(OR(H3="",F3=""),"",H3*F3)</f>
        <v/>
      </c>
    </row>
    <row r="4" ht="64" customHeight="1">
      <c r="A4" s="4" t="inlineStr">
        <is>
          <t>c1070-5481</t>
        </is>
      </c>
      <c r="B4" s="3" t="inlineStr">
        <is>
          <t>Drawsheet - 54" x 81" - 55% cotton, 45% polyester- T180 - White with Blue ID Thread</t>
        </is>
      </c>
      <c r="C4" s="3" t="inlineStr">
        <is>
          <t>pieces</t>
        </is>
      </c>
      <c r="D4" s="5" t="n">
        <v>2.4</v>
      </c>
      <c r="E4" s="3" t="n">
        <v>36</v>
      </c>
      <c r="F4" s="3" t="n">
        <v>30</v>
      </c>
      <c r="G4" s="6">
        <f>IF(OR(E4="",F4=""),"",E4*F4)</f>
        <v/>
      </c>
      <c r="H4" s="6">
        <f>IF(OR(C4="",E4=""),"",IF(C4="dozen",E4/12,E4))</f>
        <v/>
      </c>
      <c r="I4" s="6">
        <f>IF(OR(H4="",F4=""),"",H4*F4)</f>
        <v/>
      </c>
    </row>
    <row r="5" ht="64" customHeight="1">
      <c r="A5" s="4" t="inlineStr">
        <is>
          <t>L8870_U</t>
        </is>
      </c>
      <c r="B5" s="3" t="inlineStr">
        <is>
          <t>1 lb wash Cloth</t>
        </is>
      </c>
      <c r="C5" s="3" t="inlineStr">
        <is>
          <t>dozen</t>
        </is>
      </c>
      <c r="D5" s="5" t="n">
        <v>1.74</v>
      </c>
      <c r="E5" s="3" t="n">
        <v>900</v>
      </c>
      <c r="F5" s="3" t="n">
        <v>8</v>
      </c>
      <c r="G5" s="6">
        <f>IF(OR(E5="",F5=""),"",E5*F5)</f>
        <v/>
      </c>
      <c r="H5" s="6">
        <f>IF(OR(C5="",E5=""),"",IF(C5="dozen",E5/12,E5))</f>
        <v/>
      </c>
      <c r="I5" s="6">
        <f>IF(OR(H5="",F5=""),"",H5*F5)</f>
        <v/>
      </c>
    </row>
    <row r="6" ht="32" customHeight="1">
      <c r="A6" s="4" t="n"/>
      <c r="B6" s="3" t="n"/>
      <c r="C6" s="3" t="n"/>
      <c r="D6" s="5" t="n"/>
      <c r="E6" s="3" t="n"/>
      <c r="F6" s="3" t="n"/>
      <c r="G6" s="6">
        <f>IF(OR(E6="",F6=""),"",E6*F6)</f>
        <v/>
      </c>
      <c r="H6" s="6">
        <f>IF(OR(C6="",E6=""),"",IF(C6="dozen",E6/12,E6))</f>
        <v/>
      </c>
      <c r="I6" s="6">
        <f>IF(OR(H6="",F6=""),"",H6*F6)</f>
        <v/>
      </c>
    </row>
    <row r="7" ht="32" customHeight="1">
      <c r="A7" s="4" t="n"/>
      <c r="B7" s="3" t="n"/>
      <c r="C7" s="3" t="n"/>
      <c r="D7" s="5" t="n"/>
      <c r="E7" s="3" t="n"/>
      <c r="F7" s="3" t="n"/>
      <c r="G7" s="6">
        <f>IF(OR(E7="",F7=""),"",E7*F7)</f>
        <v/>
      </c>
      <c r="H7" s="6">
        <f>IF(OR(C7="",E7=""),"",IF(C7="dozen",E7/12,E7))</f>
        <v/>
      </c>
      <c r="I7" s="6">
        <f>IF(OR(H7="",F7=""),"",H7*F7)</f>
        <v/>
      </c>
    </row>
    <row r="8" ht="32" customHeight="1">
      <c r="A8" s="4" t="n"/>
      <c r="B8" s="3" t="n"/>
      <c r="C8" s="3" t="n"/>
      <c r="D8" s="5" t="n"/>
      <c r="E8" s="3" t="n"/>
      <c r="F8" s="3" t="n"/>
      <c r="G8" s="6">
        <f>IF(OR(E8="",F8=""),"",E8*F8)</f>
        <v/>
      </c>
      <c r="H8" s="6">
        <f>IF(OR(C8="",E8=""),"",IF(C8="dozen",E8/12,E8))</f>
        <v/>
      </c>
      <c r="I8" s="6">
        <f>IF(OR(H8="",F8=""),"",H8*F8)</f>
        <v/>
      </c>
    </row>
    <row r="9" ht="32" customHeight="1">
      <c r="A9" s="4" t="n"/>
      <c r="B9" s="3" t="n"/>
      <c r="C9" s="3" t="n"/>
      <c r="D9" s="5" t="n"/>
      <c r="E9" s="3" t="n"/>
      <c r="F9" s="3" t="n"/>
      <c r="G9" s="6">
        <f>IF(OR(E9="",F9=""),"",E9*F9)</f>
        <v/>
      </c>
      <c r="H9" s="6">
        <f>IF(OR(C9="",E9=""),"",IF(C9="dozen",E9/12,E9))</f>
        <v/>
      </c>
      <c r="I9" s="6">
        <f>IF(OR(H9="",F9=""),"",H9*F9)</f>
        <v/>
      </c>
    </row>
    <row r="10" ht="32" customHeight="1">
      <c r="A10" s="4" t="n"/>
      <c r="B10" s="3" t="n"/>
      <c r="C10" s="3" t="n"/>
      <c r="D10" s="5" t="n"/>
      <c r="E10" s="3" t="n"/>
      <c r="F10" s="3" t="n"/>
      <c r="G10" s="6">
        <f>IF(OR(E10="",F10=""),"",E10*F10)</f>
        <v/>
      </c>
      <c r="H10" s="6">
        <f>IF(OR(C10="",E10=""),"",IF(C10="dozen",E10/12,E10))</f>
        <v/>
      </c>
      <c r="I10" s="6">
        <f>IF(OR(H10="",F10=""),"",H10*F10)</f>
        <v/>
      </c>
    </row>
    <row r="11" ht="32" customHeight="1">
      <c r="A11" s="4" t="n"/>
      <c r="B11" s="3" t="n"/>
      <c r="C11" s="3" t="n"/>
      <c r="D11" s="5" t="n"/>
      <c r="E11" s="3" t="n"/>
      <c r="F11" s="3" t="n"/>
      <c r="G11" s="6">
        <f>IF(OR(E11="",F11=""),"",E11*F11)</f>
        <v/>
      </c>
      <c r="H11" s="6">
        <f>IF(OR(C11="",E11=""),"",IF(C11="dozen",E11/12,E11))</f>
        <v/>
      </c>
      <c r="I11" s="6">
        <f>IF(OR(H11="",F11=""),"",H11*F11)</f>
        <v/>
      </c>
    </row>
    <row r="12" ht="32" customHeight="1">
      <c r="A12" s="4" t="n"/>
      <c r="B12" s="3" t="n"/>
      <c r="C12" s="3" t="n"/>
      <c r="D12" s="5" t="n"/>
      <c r="E12" s="3" t="n"/>
      <c r="F12" s="3" t="n"/>
      <c r="G12" s="6">
        <f>IF(OR(E12="",F12=""),"",E12*F12)</f>
        <v/>
      </c>
      <c r="H12" s="6">
        <f>IF(OR(C12="",E12=""),"",IF(C12="dozen",E12/12,E12))</f>
        <v/>
      </c>
      <c r="I12" s="6">
        <f>IF(OR(H12="",F12=""),"",H12*F12)</f>
        <v/>
      </c>
    </row>
    <row r="13" ht="32" customHeight="1">
      <c r="A13" s="4" t="n"/>
      <c r="B13" s="3" t="n"/>
      <c r="C13" s="3" t="n"/>
      <c r="D13" s="5" t="n"/>
      <c r="E13" s="3" t="n"/>
      <c r="F13" s="3" t="n"/>
      <c r="G13" s="6">
        <f>IF(OR(E13="",F13=""),"",E13*F13)</f>
        <v/>
      </c>
      <c r="H13" s="6">
        <f>IF(OR(C13="",E13=""),"",IF(C13="dozen",E13/12,E13))</f>
        <v/>
      </c>
      <c r="I13" s="6">
        <f>IF(OR(H13="",F13=""),"",H13*F13)</f>
        <v/>
      </c>
    </row>
    <row r="14" ht="32" customHeight="1">
      <c r="A14" s="4" t="n"/>
      <c r="B14" s="3" t="n"/>
      <c r="C14" s="3" t="n"/>
      <c r="D14" s="5" t="n"/>
      <c r="E14" s="3" t="n"/>
      <c r="F14" s="3" t="n"/>
      <c r="G14" s="6">
        <f>IF(OR(E14="",F14=""),"",E14*F14)</f>
        <v/>
      </c>
      <c r="H14" s="6">
        <f>IF(OR(C14="",E14=""),"",IF(C14="dozen",E14/12,E14))</f>
        <v/>
      </c>
      <c r="I14" s="6">
        <f>IF(OR(H14="",F14=""),"",H14*F14)</f>
        <v/>
      </c>
    </row>
    <row r="15" ht="32" customHeight="1">
      <c r="A15" s="4" t="n"/>
      <c r="B15" s="3" t="n"/>
      <c r="C15" s="3" t="n"/>
      <c r="D15" s="5" t="n"/>
      <c r="E15" s="3" t="n"/>
      <c r="F15" s="3" t="n"/>
      <c r="G15" s="6">
        <f>IF(OR(E15="",F15=""),"",E15*F15)</f>
        <v/>
      </c>
      <c r="H15" s="6">
        <f>IF(OR(C15="",E15=""),"",IF(C15="dozen",E15/12,E15))</f>
        <v/>
      </c>
      <c r="I15" s="6">
        <f>IF(OR(H15="",F15=""),"",H15*F15)</f>
        <v/>
      </c>
    </row>
    <row r="16" ht="32" customHeight="1">
      <c r="A16" s="4" t="n"/>
      <c r="B16" s="3" t="n"/>
      <c r="C16" s="3" t="n"/>
      <c r="D16" s="5" t="n"/>
      <c r="E16" s="3" t="n"/>
      <c r="F16" s="3" t="n"/>
      <c r="G16" s="6">
        <f>IF(OR(E16="",F16=""),"",E16*F16)</f>
        <v/>
      </c>
      <c r="H16" s="6">
        <f>IF(OR(C16="",E16=""),"",IF(C16="dozen",E16/12,E16))</f>
        <v/>
      </c>
      <c r="I16" s="6">
        <f>IF(OR(H16="",F16=""),"",H16*F16)</f>
        <v/>
      </c>
    </row>
    <row r="17" ht="32" customHeight="1">
      <c r="A17" s="4" t="n"/>
      <c r="B17" s="3" t="n"/>
      <c r="C17" s="3" t="n"/>
      <c r="D17" s="5" t="n"/>
      <c r="E17" s="3" t="n"/>
      <c r="F17" s="3" t="n"/>
      <c r="G17" s="6">
        <f>IF(OR(E17="",F17=""),"",E17*F17)</f>
        <v/>
      </c>
      <c r="H17" s="6">
        <f>IF(OR(C17="",E17=""),"",IF(C17="dozen",E17/12,E17))</f>
        <v/>
      </c>
      <c r="I17" s="6">
        <f>IF(OR(H17="",F17=""),"",H17*F17)</f>
        <v/>
      </c>
    </row>
    <row r="18" ht="32" customHeight="1">
      <c r="A18" s="4" t="n"/>
      <c r="B18" s="3" t="n"/>
      <c r="C18" s="3" t="n"/>
      <c r="D18" s="5" t="n"/>
      <c r="E18" s="3" t="n"/>
      <c r="F18" s="3" t="n"/>
      <c r="G18" s="6">
        <f>IF(OR(E18="",F18=""),"",E18*F18)</f>
        <v/>
      </c>
      <c r="H18" s="6">
        <f>IF(OR(C18="",E18=""),"",IF(C18="dozen",E18/12,E18))</f>
        <v/>
      </c>
      <c r="I18" s="6">
        <f>IF(OR(H18="",F18=""),"",H18*F18)</f>
        <v/>
      </c>
    </row>
    <row r="19" ht="32" customHeight="1">
      <c r="A19" s="4" t="n"/>
      <c r="B19" s="3" t="n"/>
      <c r="C19" s="3" t="n"/>
      <c r="D19" s="5" t="n"/>
      <c r="E19" s="3" t="n"/>
      <c r="F19" s="3" t="n"/>
      <c r="G19" s="6">
        <f>IF(OR(E19="",F19=""),"",E19*F19)</f>
        <v/>
      </c>
      <c r="H19" s="6">
        <f>IF(OR(C19="",E19=""),"",IF(C19="dozen",E19/12,E19))</f>
        <v/>
      </c>
      <c r="I19" s="6">
        <f>IF(OR(H19="",F19=""),"",H19*F19)</f>
        <v/>
      </c>
    </row>
    <row r="20" ht="32" customHeight="1">
      <c r="A20" s="4" t="n"/>
      <c r="B20" s="3" t="n"/>
      <c r="C20" s="3" t="n"/>
      <c r="D20" s="5" t="n"/>
      <c r="E20" s="3" t="n"/>
      <c r="F20" s="3" t="n"/>
      <c r="G20" s="6">
        <f>IF(OR(E20="",F20=""),"",E20*F20)</f>
        <v/>
      </c>
      <c r="H20" s="6">
        <f>IF(OR(C20="",E20=""),"",IF(C20="dozen",E20/12,E20))</f>
        <v/>
      </c>
      <c r="I20" s="6">
        <f>IF(OR(H20="",F20=""),"",H20*F20)</f>
        <v/>
      </c>
    </row>
    <row r="21" ht="32" customHeight="1">
      <c r="A21" s="4" t="n"/>
      <c r="B21" s="3" t="n"/>
      <c r="C21" s="3" t="n"/>
      <c r="D21" s="5" t="n"/>
      <c r="E21" s="3" t="n"/>
      <c r="F21" s="3" t="n"/>
      <c r="G21" s="6">
        <f>IF(OR(E21="",F21=""),"",E21*F21)</f>
        <v/>
      </c>
      <c r="H21" s="6">
        <f>IF(OR(C21="",E21=""),"",IF(C21="dozen",E21/12,E21))</f>
        <v/>
      </c>
      <c r="I21" s="6">
        <f>IF(OR(H21="",F21=""),"",H21*F21)</f>
        <v/>
      </c>
    </row>
  </sheetData>
  <dataValidations count="4">
    <dataValidation sqref="C2:C1000" showDropDown="0" showInputMessage="0" showErrorMessage="1" allowBlank="0" errorTitle="Choose an order unit" error="Choose pieces or dozen." type="list">
      <formula1>"pieces,dozen"</formula1>
    </dataValidation>
    <dataValidation sqref="E2:E1000" showDropDown="0" showInputMessage="0" showErrorMessage="1" allowBlank="0" error="Enter a positive whole number." type="whole" operator="between">
      <formula1>1</formula1>
      <formula2>1000000</formula2>
    </dataValidation>
    <dataValidation sqref="F2:F1000" showDropDown="0" showInputMessage="0" showErrorMessage="1" allowBlank="0" error="Enter a positive whole number." type="whole" operator="between">
      <formula1>1</formula1>
      <formula2>1000000</formula2>
    </dataValidation>
    <dataValidation sqref="D2:D1000" showDropDown="0" showInputMessage="0" showErrorMessage="1" allowBlank="0" error="Enter a nonnegative price per order unit." type="decimal" operator="greaterThanOrEqual">
      <formula1>0</formula1>
    </dataValidation>
  </dataValidations>
  <pageMargins left="0.75" right="0.75" top="1" bottom="1" header="0.5" footer="0.5"/>
  <pageSetup orientation="landscape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2026-10-19T14:38:10Z</dcterms:created>
  <dcterms:modified xmlns:dcterms="http://purl.org/dc/terms/" xmlns:xsi="http://www.w3.org/2001/XMLSchema-instance" xsi:type="dcterms:W3CDTF">2026-10-19T14:38:10Z</dcterms:modified>
</cp:coreProperties>
</file>